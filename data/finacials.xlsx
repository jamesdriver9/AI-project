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James\Desktop\Finance\"/>
    </mc:Choice>
  </mc:AlternateContent>
  <xr:revisionPtr revIDLastSave="0" documentId="8_{C4DF0961-372E-41E9-A3E5-7CDCF2136F8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heet1" sheetId="3" r:id="rId1"/>
    <sheet name="Tabelle1" sheetId="1" r:id="rId2"/>
    <sheet name="Archive Savings" sheetId="2" r:id="rId3"/>
    <sheet name="Sheet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C10" i="4"/>
  <c r="C9" i="4"/>
  <c r="C8" i="4"/>
  <c r="C7" i="4"/>
  <c r="C6" i="4"/>
  <c r="C5" i="4"/>
  <c r="C4" i="4"/>
  <c r="C3" i="4"/>
  <c r="E15" i="1"/>
  <c r="B24" i="1"/>
  <c r="C21" i="1"/>
  <c r="C23" i="1"/>
  <c r="C24" i="1"/>
  <c r="C28" i="1"/>
  <c r="C29" i="1"/>
  <c r="I23" i="1"/>
  <c r="H24" i="3"/>
  <c r="B13" i="3"/>
  <c r="B12" i="3"/>
  <c r="H38" i="3"/>
  <c r="H39" i="3" s="1"/>
  <c r="H29" i="3"/>
  <c r="H16" i="3"/>
  <c r="H5" i="3" s="1"/>
  <c r="D3" i="3"/>
  <c r="K3" i="1"/>
  <c r="B51" i="1"/>
  <c r="C11" i="1"/>
  <c r="C10" i="1"/>
  <c r="A6" i="1"/>
  <c r="B36" i="1"/>
  <c r="K13" i="2"/>
  <c r="K14" i="2"/>
  <c r="K15" i="2"/>
  <c r="K16" i="2"/>
  <c r="B31" i="1"/>
  <c r="C31" i="1" s="1"/>
  <c r="B32" i="1"/>
  <c r="C32" i="1" s="1"/>
  <c r="K11" i="2"/>
  <c r="K10" i="2"/>
  <c r="K9" i="2"/>
  <c r="K8" i="2"/>
  <c r="K5" i="2"/>
  <c r="K4" i="2"/>
  <c r="B26" i="1"/>
  <c r="C26" i="1" s="1"/>
  <c r="C27" i="1" s="1"/>
  <c r="B27" i="1"/>
  <c r="B39" i="1"/>
  <c r="B34" i="1"/>
  <c r="C34" i="1" s="1"/>
  <c r="C35" i="1" s="1"/>
  <c r="C14" i="2"/>
  <c r="C13" i="2"/>
  <c r="C12" i="2"/>
  <c r="C11" i="2"/>
  <c r="C10" i="2"/>
  <c r="C9" i="2"/>
  <c r="C8" i="2"/>
  <c r="C7" i="2"/>
  <c r="C6" i="2"/>
  <c r="C5" i="2"/>
  <c r="C4" i="2"/>
  <c r="C3" i="2"/>
  <c r="D3" i="1"/>
  <c r="E3" i="1" s="1"/>
  <c r="B40" i="1"/>
  <c r="B35" i="1"/>
  <c r="A15" i="1"/>
  <c r="E6" i="1" l="1"/>
  <c r="H30" i="3"/>
  <c r="H32" i="3" s="1"/>
  <c r="H6" i="3" s="1"/>
  <c r="H7" i="3" s="1"/>
  <c r="E3" i="3"/>
  <c r="E6" i="3" s="1"/>
  <c r="D6" i="3"/>
  <c r="B33" i="1"/>
  <c r="C14" i="1"/>
  <c r="C15" i="1" s="1"/>
  <c r="A10" i="1"/>
  <c r="K5" i="1"/>
  <c r="K8" i="1"/>
  <c r="K9" i="1" l="1"/>
</calcChain>
</file>

<file path=xl/sharedStrings.xml><?xml version="1.0" encoding="utf-8"?>
<sst xmlns="http://schemas.openxmlformats.org/spreadsheetml/2006/main" count="148" uniqueCount="108">
  <si>
    <t>Monthly Takehome</t>
  </si>
  <si>
    <t>Ougoings Monthly Joint Account</t>
  </si>
  <si>
    <t>Outgoings personal</t>
  </si>
  <si>
    <t>Total Monthly Outgoings</t>
  </si>
  <si>
    <t>Savings Monthly</t>
  </si>
  <si>
    <t>Asset</t>
  </si>
  <si>
    <t>Total</t>
  </si>
  <si>
    <t>Savings Account Cash</t>
  </si>
  <si>
    <t>Stocks + Shares</t>
  </si>
  <si>
    <t>Yearly Outgoings</t>
  </si>
  <si>
    <t>Savings Yearly</t>
  </si>
  <si>
    <t>Pension</t>
  </si>
  <si>
    <t>Flat Post Sale Equity</t>
  </si>
  <si>
    <t>Bonus Post Tax</t>
  </si>
  <si>
    <t>Student Debt</t>
  </si>
  <si>
    <t>Outgoings</t>
  </si>
  <si>
    <t>Best Invest</t>
  </si>
  <si>
    <t>Travel</t>
  </si>
  <si>
    <t>Scottish Widows</t>
  </si>
  <si>
    <t>Lunch</t>
  </si>
  <si>
    <t>Aviva</t>
  </si>
  <si>
    <t>Phone</t>
  </si>
  <si>
    <t>Nest</t>
  </si>
  <si>
    <t>Contacts</t>
  </si>
  <si>
    <t>UBS</t>
  </si>
  <si>
    <t>Flat Finance</t>
  </si>
  <si>
    <t>Flat</t>
  </si>
  <si>
    <t>Sale Value</t>
  </si>
  <si>
    <t>Mortgage Equity Back Monthly</t>
  </si>
  <si>
    <t>Mortgage</t>
  </si>
  <si>
    <t>Pre Sale Equity</t>
  </si>
  <si>
    <t>Early Exit Fee</t>
  </si>
  <si>
    <t>solicitor estimate</t>
  </si>
  <si>
    <t>Sale Fee</t>
  </si>
  <si>
    <t>Total sale fee</t>
  </si>
  <si>
    <t>Total Sale Cost</t>
  </si>
  <si>
    <t>Total Flat Equity Post Sale</t>
  </si>
  <si>
    <t>Equity Purchase</t>
  </si>
  <si>
    <t>Equity Purchase Costs</t>
  </si>
  <si>
    <t>Parents</t>
  </si>
  <si>
    <t>Final</t>
  </si>
  <si>
    <t>Salary</t>
  </si>
  <si>
    <t>Outgoing Monthly Joint Account</t>
  </si>
  <si>
    <t>Outgoings Monthly Personal</t>
  </si>
  <si>
    <t>Yearly Cost</t>
  </si>
  <si>
    <t>Column1</t>
  </si>
  <si>
    <t>Column3</t>
  </si>
  <si>
    <t>Buy and Sell</t>
  </si>
  <si>
    <t>cash now</t>
  </si>
  <si>
    <t>Savings (Monthly)</t>
  </si>
  <si>
    <t>Total in Savings Account</t>
  </si>
  <si>
    <t>Stock + Shares Total</t>
  </si>
  <si>
    <t>Stocks added working year</t>
  </si>
  <si>
    <t>Net Worth (no sell)</t>
  </si>
  <si>
    <t>Equity</t>
  </si>
  <si>
    <t>Sell Cost</t>
  </si>
  <si>
    <t>Savings (Yearly)</t>
  </si>
  <si>
    <t>Outgoing</t>
  </si>
  <si>
    <t>Spend</t>
  </si>
  <si>
    <t>Total Post Sell</t>
  </si>
  <si>
    <t>Bonus</t>
  </si>
  <si>
    <t>phone</t>
  </si>
  <si>
    <t>Diff (Spending)</t>
  </si>
  <si>
    <t>Savings % of Salary</t>
  </si>
  <si>
    <t>cost</t>
  </si>
  <si>
    <t>spending left</t>
  </si>
  <si>
    <t>Column7</t>
  </si>
  <si>
    <t>Personal</t>
  </si>
  <si>
    <t>Column5</t>
  </si>
  <si>
    <t>Column6</t>
  </si>
  <si>
    <t>Column4</t>
  </si>
  <si>
    <t>Column2</t>
  </si>
  <si>
    <t>Column32</t>
  </si>
  <si>
    <t>Initial Equity</t>
  </si>
  <si>
    <t>Mortgage Remaining</t>
  </si>
  <si>
    <t>Mortgage Equity Back</t>
  </si>
  <si>
    <t>Flat Increase</t>
  </si>
  <si>
    <t>Predicted Equity</t>
  </si>
  <si>
    <t>Gain</t>
  </si>
  <si>
    <t>Outstanding Mortgage</t>
  </si>
  <si>
    <t>Mortgage Early Exit Fee</t>
  </si>
  <si>
    <t>Solicitor Fee</t>
  </si>
  <si>
    <t>Transfer Fee</t>
  </si>
  <si>
    <t>Stamp Duty</t>
  </si>
  <si>
    <t>1800</t>
  </si>
  <si>
    <t>E gain</t>
  </si>
  <si>
    <t>Equity Buyout Cost</t>
  </si>
  <si>
    <t>equity gain</t>
  </si>
  <si>
    <t>Date</t>
  </si>
  <si>
    <t>Savings</t>
  </si>
  <si>
    <t>Comments</t>
  </si>
  <si>
    <t>4/31/2024</t>
  </si>
  <si>
    <t>paid off postgrad 4500</t>
  </si>
  <si>
    <t>300 to accountant</t>
  </si>
  <si>
    <t>6/31/2024</t>
  </si>
  <si>
    <t>200 Plants 150 norwich Tom bday</t>
  </si>
  <si>
    <t>7/31/2024</t>
  </si>
  <si>
    <t>8/31/2024</t>
  </si>
  <si>
    <t>1500 for flat + 600 stocks fund</t>
  </si>
  <si>
    <t>9/31/2024</t>
  </si>
  <si>
    <t>22548</t>
  </si>
  <si>
    <t>2228</t>
  </si>
  <si>
    <t>sophie b day 550 + 600 stocks fund</t>
  </si>
  <si>
    <t>10/31/2024</t>
  </si>
  <si>
    <t>11/31/2024</t>
  </si>
  <si>
    <t>holiday + 560 in bitcoin</t>
  </si>
  <si>
    <t>31/12/2024</t>
  </si>
  <si>
    <t xml:space="preserve">zippo + lego + glasses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</si>
</sst>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C4C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theme="4"/>
      </top>
      <bottom/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rgb="FF000000"/>
      </left>
      <right/>
      <top style="thin">
        <color theme="4"/>
      </top>
      <bottom style="thin">
        <color rgb="FF000000"/>
      </bottom>
      <diagonal/>
    </border>
    <border>
      <left/>
      <right style="thin">
        <color rgb="FF000000"/>
      </right>
      <top style="thin">
        <color theme="4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5" fillId="0" borderId="0" xfId="0" applyFont="1"/>
    <xf numFmtId="0" fontId="4" fillId="2" borderId="0" xfId="0" applyFont="1" applyFill="1"/>
    <xf numFmtId="0" fontId="2" fillId="2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0" fillId="0" borderId="0" xfId="0" applyNumberFormat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wrapText="1"/>
    </xf>
    <xf numFmtId="0" fontId="2" fillId="2" borderId="0" xfId="0" applyFont="1" applyFill="1" applyBorder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5" borderId="0" xfId="0" applyFont="1" applyFill="1"/>
    <xf numFmtId="0" fontId="4" fillId="5" borderId="0" xfId="0" applyFont="1" applyFill="1"/>
    <xf numFmtId="0" fontId="4" fillId="4" borderId="0" xfId="0" applyFont="1" applyFill="1"/>
    <xf numFmtId="0" fontId="2" fillId="0" borderId="1" xfId="0" applyFont="1" applyBorder="1"/>
    <xf numFmtId="0" fontId="2" fillId="0" borderId="4" xfId="0" applyFont="1" applyBorder="1"/>
    <xf numFmtId="0" fontId="0" fillId="0" borderId="6" xfId="0" applyBorder="1"/>
    <xf numFmtId="0" fontId="2" fillId="4" borderId="4" xfId="0" applyFont="1" applyFill="1" applyBorder="1"/>
    <xf numFmtId="0" fontId="0" fillId="4" borderId="4" xfId="0" applyFill="1" applyBorder="1"/>
    <xf numFmtId="0" fontId="2" fillId="0" borderId="12" xfId="0" applyFont="1" applyBorder="1"/>
    <xf numFmtId="0" fontId="2" fillId="0" borderId="13" xfId="0" applyFont="1" applyBorder="1"/>
    <xf numFmtId="0" fontId="0" fillId="0" borderId="14" xfId="0" applyBorder="1"/>
    <xf numFmtId="0" fontId="2" fillId="0" borderId="14" xfId="0" applyFont="1" applyBorder="1"/>
    <xf numFmtId="0" fontId="0" fillId="0" borderId="16" xfId="0" applyBorder="1"/>
    <xf numFmtId="0" fontId="2" fillId="2" borderId="4" xfId="0" applyFont="1" applyFill="1" applyBorder="1"/>
    <xf numFmtId="0" fontId="6" fillId="5" borderId="1" xfId="0" applyFont="1" applyFill="1" applyBorder="1"/>
    <xf numFmtId="0" fontId="1" fillId="5" borderId="10" xfId="0" applyFont="1" applyFill="1" applyBorder="1" applyAlignment="1">
      <alignment horizontal="center" vertical="center"/>
    </xf>
    <xf numFmtId="0" fontId="6" fillId="2" borderId="0" xfId="0" applyFont="1" applyFill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0" fontId="2" fillId="5" borderId="0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0" xfId="0" applyFill="1"/>
    <xf numFmtId="14" fontId="0" fillId="0" borderId="0" xfId="0" applyNumberFormat="1" applyFont="1" applyAlignment="1">
      <alignment horizontal="center"/>
    </xf>
    <xf numFmtId="0" fontId="7" fillId="2" borderId="0" xfId="0" applyFont="1" applyFill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Alignment="1">
      <alignment horizontal="right"/>
    </xf>
    <xf numFmtId="49" fontId="2" fillId="3" borderId="15" xfId="0" applyNumberFormat="1" applyFont="1" applyFill="1" applyBorder="1" applyAlignment="1">
      <alignment horizontal="center"/>
    </xf>
    <xf numFmtId="49" fontId="0" fillId="0" borderId="0" xfId="0" applyNumberFormat="1"/>
    <xf numFmtId="0" fontId="2" fillId="3" borderId="0" xfId="0" applyFont="1" applyFill="1" applyAlignment="1">
      <alignment horizontal="left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5" xfId="0" applyNumberFormat="1" applyBorder="1" applyAlignment="1">
      <alignment horizontal="left"/>
    </xf>
    <xf numFmtId="0" fontId="2" fillId="5" borderId="8" xfId="0" applyNumberFormat="1" applyFont="1" applyFill="1" applyBorder="1" applyAlignment="1">
      <alignment horizontal="left"/>
    </xf>
    <xf numFmtId="0" fontId="1" fillId="4" borderId="6" xfId="0" applyFont="1" applyFill="1" applyBorder="1"/>
    <xf numFmtId="0" fontId="2" fillId="4" borderId="8" xfId="0" applyNumberFormat="1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0" fontId="1" fillId="5" borderId="18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6" fillId="2" borderId="1" xfId="0" applyFont="1" applyFill="1" applyBorder="1"/>
    <xf numFmtId="0" fontId="6" fillId="6" borderId="0" xfId="0" applyFont="1" applyFill="1"/>
    <xf numFmtId="0" fontId="6" fillId="4" borderId="0" xfId="0" applyFont="1" applyFill="1"/>
    <xf numFmtId="0" fontId="6" fillId="5" borderId="0" xfId="0" applyFont="1" applyFill="1"/>
    <xf numFmtId="0" fontId="8" fillId="0" borderId="0" xfId="0" applyFont="1"/>
    <xf numFmtId="0" fontId="6" fillId="0" borderId="0" xfId="0" applyFont="1"/>
    <xf numFmtId="0" fontId="8" fillId="0" borderId="3" xfId="0" applyFont="1" applyBorder="1" applyAlignment="1">
      <alignment horizontal="left"/>
    </xf>
    <xf numFmtId="0" fontId="8" fillId="0" borderId="19" xfId="0" applyFont="1" applyBorder="1"/>
    <xf numFmtId="0" fontId="8" fillId="0" borderId="20" xfId="0" applyNumberFormat="1" applyFont="1" applyBorder="1" applyAlignment="1">
      <alignment horizontal="left"/>
    </xf>
    <xf numFmtId="0" fontId="6" fillId="0" borderId="21" xfId="0" applyFont="1" applyBorder="1"/>
    <xf numFmtId="0" fontId="6" fillId="5" borderId="22" xfId="0" applyNumberFormat="1" applyFont="1" applyFill="1" applyBorder="1" applyAlignment="1">
      <alignment horizontal="left"/>
    </xf>
    <xf numFmtId="0" fontId="6" fillId="4" borderId="21" xfId="0" applyFont="1" applyFill="1" applyBorder="1"/>
    <xf numFmtId="0" fontId="8" fillId="0" borderId="3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6" fillId="4" borderId="0" xfId="0" applyFont="1" applyFill="1" applyBorder="1"/>
    <xf numFmtId="0" fontId="6" fillId="4" borderId="0" xfId="0" applyFont="1" applyFill="1" applyBorder="1" applyAlignment="1">
      <alignment horizontal="center"/>
    </xf>
    <xf numFmtId="0" fontId="8" fillId="4" borderId="0" xfId="0" applyFont="1" applyFill="1" applyBorder="1"/>
    <xf numFmtId="0" fontId="8" fillId="4" borderId="0" xfId="0" applyFont="1" applyFill="1" applyBorder="1" applyAlignment="1">
      <alignment horizontal="center"/>
    </xf>
    <xf numFmtId="0" fontId="6" fillId="5" borderId="0" xfId="0" applyNumberFormat="1" applyFont="1" applyFill="1" applyBorder="1" applyAlignment="1">
      <alignment horizontal="center"/>
    </xf>
    <xf numFmtId="0" fontId="6" fillId="4" borderId="22" xfId="0" applyNumberFormat="1" applyFont="1" applyFill="1" applyBorder="1" applyAlignment="1">
      <alignment horizontal="right"/>
    </xf>
    <xf numFmtId="10" fontId="6" fillId="0" borderId="0" xfId="0" applyNumberFormat="1" applyFont="1" applyBorder="1" applyAlignment="1">
      <alignment horizontal="center"/>
    </xf>
    <xf numFmtId="0" fontId="9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37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dott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>
        <bottom style="dott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numFmt numFmtId="0" formatCode="General"/>
    </dxf>
    <dxf>
      <numFmt numFmtId="30" formatCode="@"/>
    </dxf>
    <dxf>
      <numFmt numFmtId="30" formatCode="@"/>
    </dxf>
    <dxf>
      <alignment horizontal="center"/>
    </dxf>
    <dxf>
      <border>
        <left style="medium">
          <color rgb="FF000000"/>
        </left>
      </border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border>
        <left style="thin">
          <color rgb="FF000000"/>
        </left>
      </border>
    </dxf>
    <dxf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/>
        <color theme="1"/>
      </font>
    </dxf>
    <dxf>
      <numFmt numFmtId="0" formatCode="General"/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sz val="14"/>
      </font>
      <alignment horizontal="center" vertical="bottom" textRotation="0" wrapText="0" indent="0" justifyLastLine="0" shrinkToFit="0" readingOrder="0"/>
    </dxf>
    <dxf>
      <font>
        <sz val="14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F5C4C4"/>
      <color rgb="FFF2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3DC4B9-064F-45F6-9D72-EF452C135E45}" name="Table6" displayName="Table6" ref="G20:H32" totalsRowShown="0" headerRowDxfId="36" dataDxfId="35" tableBorderDxfId="34">
  <autoFilter ref="G20:H32" xr:uid="{203DC4B9-064F-45F6-9D72-EF452C135E45}"/>
  <tableColumns count="2">
    <tableColumn id="1" xr3:uid="{7ED6FEC4-9528-4BC5-9C0E-43A9436D8A02}" name="Flat" dataDxfId="33"/>
    <tableColumn id="2" xr3:uid="{3E991DEE-1631-4BB4-BB6E-9F3D41F9CEA6}" name="Total" dataDxfId="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1B9A2B-9866-422B-B920-4B29FCB4AAC3}" name="Table7" displayName="Table7" ref="G35:H39" totalsRowShown="0" headerRowDxfId="31" dataDxfId="30" tableBorderDxfId="29">
  <autoFilter ref="G35:H39" xr:uid="{7C1B9A2B-9866-422B-B920-4B29FCB4AAC3}"/>
  <tableColumns count="2">
    <tableColumn id="1" xr3:uid="{9FE633CE-49E6-4F2C-B39F-2C64B7817EC0}" name="Equity Purchase" dataDxfId="28"/>
    <tableColumn id="2" xr3:uid="{CDCD7821-978B-4AE3-A24E-23B5B5180FAC}" name="Equity Purchase Costs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6B01A-6259-44E5-BFF6-3421B821C2F1}" name="Table1" displayName="Table1" ref="A2:E17" totalsRowShown="0" headerRowDxfId="26">
  <autoFilter ref="A2:E17" xr:uid="{3306B01A-6259-44E5-BFF6-3421B821C2F1}"/>
  <tableColumns count="5">
    <tableColumn id="1" xr3:uid="{2598DAFB-768A-401C-9908-C882317FAD24}" name="Monthly Takehome"/>
    <tableColumn id="2" xr3:uid="{3AD945FB-825C-43B4-A608-08209AA52814}" name="Outgoing Monthly Joint Account"/>
    <tableColumn id="3" xr3:uid="{81B28067-4C42-40F5-B52D-26AD969BC493}" name="Outgoings Monthly Personal"/>
    <tableColumn id="4" xr3:uid="{3DE67CE2-AD0D-4EB5-8A90-4720940A12BF}" name="Total Monthly Outgoings"/>
    <tableColumn id="5" xr3:uid="{5101DF72-C348-4D4F-AAE1-9E0063FA3899}" name="Yearly Cost" dataDxfId="25">
      <calculatedColumnFormula>Table1[[#This Row],[Total Monthly Outgoings]]/Table1[[#This Row],[Monthly Takehome]]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604C6-D709-41BD-BC3A-EE2720EC6F57}" name="Table2" displayName="Table2" ref="A20:J35" totalsRowCount="1" headerRowDxfId="24">
  <autoFilter ref="A20:J34" xr:uid="{2D8604C6-D709-41BD-BC3A-EE2720EC6F57}"/>
  <tableColumns count="10">
    <tableColumn id="1" xr3:uid="{3CB975C7-D153-40AE-8447-A255FB6ACFAF}" name="Flat" totalsRowLabel="Gain" dataDxfId="22" totalsRowDxfId="23"/>
    <tableColumn id="2" xr3:uid="{C7A30402-A45D-4182-83AC-545130076396}" name="Column7" totalsRowFunction="custom" dataDxfId="20" totalsRowDxfId="21">
      <totalsRowFormula>B34-B21</totalsRowFormula>
    </tableColumn>
    <tableColumn id="3" xr3:uid="{836CE5B9-5698-4AB9-B948-0E2FE051F491}" name="Personal" totalsRowFunction="custom" dataDxfId="18" totalsRowDxfId="19">
      <calculatedColumnFormula>Table2[[#This Row],[Column7]]/2</calculatedColumnFormula>
      <totalsRowFormula>C34-C21</totalsRowFormula>
    </tableColumn>
    <tableColumn id="4" xr3:uid="{B7AB5F15-D929-4953-8B24-EEFE099BB6ED}" name="Column5" dataDxfId="17"/>
    <tableColumn id="5" xr3:uid="{CAEA0B7F-0B19-4ECC-95A9-295A326CCDD7}" name="Column6" dataDxfId="16"/>
    <tableColumn id="6" xr3:uid="{36704180-C7DA-49C6-B25E-59FB74CD0F6A}" name="Column4" dataDxfId="14" totalsRowDxfId="15"/>
    <tableColumn id="7" xr3:uid="{1EC44868-22A1-464C-A2B3-12DF37FC27D4}" name="Column1" dataDxfId="13"/>
    <tableColumn id="8" xr3:uid="{DE632D42-1A71-4E53-B9A7-C40965C23F67}" name="Column2" dataDxfId="12"/>
    <tableColumn id="9" xr3:uid="{5D44472E-A7CC-4238-8563-FD1E7926CA4D}" name="Column3" dataDxfId="11">
      <calculatedColumnFormula>B16*3</calculatedColumnFormula>
    </tableColumn>
    <tableColumn id="10" xr3:uid="{7CC401BD-D391-4D5E-8022-11E644A15D3A}" name="Column32" dataDxfId="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3B0F01-E9B4-481C-9E6C-39E2B4F4A7D2}" name="Table4" displayName="Table4" ref="F2:G9" totalsRowCount="1" headerRowDxfId="9" headerRowBorderDxfId="8">
  <autoFilter ref="F2:G8" xr:uid="{333B0F01-E9B4-481C-9E6C-39E2B4F4A7D2}"/>
  <tableColumns count="2">
    <tableColumn id="1" xr3:uid="{40691672-1414-42CE-A2D8-5C54C28E9E92}" name="Column1" dataDxfId="7"/>
    <tableColumn id="3" xr3:uid="{35B47174-98D6-4147-BB71-771E1E6D5D96}" name="Column3" dataDxfId="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BB0F2-C482-47B7-92E0-3DDC87624578}" name="Table44" displayName="Table44" ref="I1:L7" totalsRowCount="1" headerRowDxfId="5" headerRowBorderDxfId="4">
  <autoFilter ref="I1:L6" xr:uid="{363BB0F2-C482-47B7-92E0-3DDC87624578}"/>
  <tableColumns count="4">
    <tableColumn id="1" xr3:uid="{2B851755-B6D4-45C7-BD06-B3154C2175D1}" name="Date" totalsRowLabel="9/31/2024"/>
    <tableColumn id="2" xr3:uid="{92717807-1EA9-42E1-BEBC-D277E406826B}" name="Total in Savings Account" totalsRowLabel="22548" dataDxfId="2" totalsRowDxfId="3"/>
    <tableColumn id="3" xr3:uid="{42928D67-7653-4796-8B06-53D50ADCE121}" name="Savings" totalsRowLabel="2228" dataDxfId="0" totalsRowDxfId="1"/>
    <tableColumn id="6" xr3:uid="{970E1B1D-DFF6-43B1-A17B-1BE0E592E93F}" name="Comments" totalsRowLabel="sophie b day 550 + 600 stocks fun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CC64-3981-47A0-AAAB-6B93283728B3}">
  <dimension ref="A1:H39"/>
  <sheetViews>
    <sheetView workbookViewId="0">
      <selection activeCell="B16" sqref="B16"/>
    </sheetView>
  </sheetViews>
  <sheetFormatPr defaultColWidth="31.7109375" defaultRowHeight="15"/>
  <cols>
    <col min="2" max="2" width="42" customWidth="1"/>
    <col min="5" max="5" width="41.7109375" customWidth="1"/>
    <col min="7" max="7" width="36" customWidth="1"/>
  </cols>
  <sheetData>
    <row r="1" spans="1:8" ht="18.75">
      <c r="D1" s="97"/>
    </row>
    <row r="2" spans="1:8" ht="18.75">
      <c r="A2" s="94" t="s">
        <v>0</v>
      </c>
      <c r="B2" s="95" t="s">
        <v>1</v>
      </c>
      <c r="C2" s="95" t="s">
        <v>2</v>
      </c>
      <c r="D2" s="95" t="s">
        <v>3</v>
      </c>
      <c r="E2" s="96" t="s">
        <v>4</v>
      </c>
      <c r="F2" s="97"/>
      <c r="G2" s="96" t="s">
        <v>5</v>
      </c>
      <c r="H2" s="96" t="s">
        <v>6</v>
      </c>
    </row>
    <row r="3" spans="1:8" ht="18.75">
      <c r="A3" s="98">
        <v>4236</v>
      </c>
      <c r="B3" s="98">
        <v>1100</v>
      </c>
      <c r="C3" s="98">
        <v>600</v>
      </c>
      <c r="D3" s="98">
        <f>B3+C3</f>
        <v>1700</v>
      </c>
      <c r="E3" s="98">
        <f>A3-D3</f>
        <v>2536</v>
      </c>
      <c r="F3" s="97"/>
      <c r="G3" s="96" t="s">
        <v>7</v>
      </c>
      <c r="H3" s="98">
        <v>22900</v>
      </c>
    </row>
    <row r="4" spans="1:8" ht="18.75">
      <c r="F4" s="97"/>
      <c r="G4" s="96" t="s">
        <v>8</v>
      </c>
      <c r="H4" s="98">
        <v>2205</v>
      </c>
    </row>
    <row r="5" spans="1:8" ht="18.75">
      <c r="D5" s="95" t="s">
        <v>9</v>
      </c>
      <c r="E5" s="96" t="s">
        <v>10</v>
      </c>
      <c r="F5" s="97"/>
      <c r="G5" s="96" t="s">
        <v>11</v>
      </c>
      <c r="H5" s="98">
        <f>H16</f>
        <v>25532</v>
      </c>
    </row>
    <row r="6" spans="1:8" ht="18.75">
      <c r="A6" s="97"/>
      <c r="B6" s="97"/>
      <c r="C6" s="97"/>
      <c r="D6" s="98">
        <f>D3*12</f>
        <v>20400</v>
      </c>
      <c r="E6" s="98">
        <f>E3*12</f>
        <v>30432</v>
      </c>
      <c r="F6" s="97"/>
      <c r="G6" s="96" t="s">
        <v>12</v>
      </c>
      <c r="H6" s="98">
        <f>H32</f>
        <v>47702</v>
      </c>
    </row>
    <row r="7" spans="1:8" ht="18.75">
      <c r="A7" s="97"/>
      <c r="B7" s="97"/>
      <c r="C7" s="97"/>
      <c r="D7" s="97"/>
      <c r="E7" s="97"/>
      <c r="F7" s="97"/>
      <c r="H7" s="96">
        <f>SUM(H3:H6)</f>
        <v>98339</v>
      </c>
    </row>
    <row r="8" spans="1:8" ht="18.75">
      <c r="A8" s="97"/>
      <c r="B8" s="97"/>
      <c r="C8" s="97"/>
      <c r="D8" s="97"/>
      <c r="E8" s="96" t="s">
        <v>13</v>
      </c>
      <c r="F8" s="97"/>
      <c r="G8" s="104" t="s">
        <v>14</v>
      </c>
      <c r="H8" s="117">
        <v>21232</v>
      </c>
    </row>
    <row r="9" spans="1:8" ht="18.75">
      <c r="A9" s="97"/>
      <c r="B9" s="97"/>
      <c r="C9" s="97"/>
      <c r="D9" s="97"/>
      <c r="E9" s="98">
        <v>3600</v>
      </c>
      <c r="F9" s="97"/>
    </row>
    <row r="10" spans="1:8" ht="18.75">
      <c r="A10" s="97"/>
      <c r="B10" s="97"/>
      <c r="C10" s="97"/>
      <c r="D10" s="97"/>
      <c r="E10" s="97"/>
      <c r="F10" s="97"/>
      <c r="G10" s="42" t="s">
        <v>11</v>
      </c>
      <c r="H10" s="99" t="s">
        <v>6</v>
      </c>
    </row>
    <row r="11" spans="1:8" ht="18.75">
      <c r="A11" s="95" t="s">
        <v>15</v>
      </c>
      <c r="B11" s="97"/>
      <c r="E11" s="97"/>
      <c r="F11" s="97"/>
      <c r="G11" s="100" t="s">
        <v>16</v>
      </c>
      <c r="H11" s="101">
        <v>4552</v>
      </c>
    </row>
    <row r="12" spans="1:8" ht="18.75">
      <c r="A12" s="98" t="s">
        <v>17</v>
      </c>
      <c r="B12" s="98">
        <f>((17.6*3)+(5.8*3))*4</f>
        <v>280.8</v>
      </c>
      <c r="E12" s="97"/>
      <c r="F12" s="97"/>
      <c r="G12" s="100" t="s">
        <v>18</v>
      </c>
      <c r="H12" s="101">
        <v>8918</v>
      </c>
    </row>
    <row r="13" spans="1:8" ht="18.75">
      <c r="A13" s="98" t="s">
        <v>19</v>
      </c>
      <c r="B13" s="98">
        <f>(5*3)*4</f>
        <v>60</v>
      </c>
      <c r="E13" s="97"/>
      <c r="F13" s="97"/>
      <c r="G13" s="100" t="s">
        <v>20</v>
      </c>
      <c r="H13" s="101">
        <v>4161</v>
      </c>
    </row>
    <row r="14" spans="1:8" ht="18.75">
      <c r="A14" s="98" t="s">
        <v>21</v>
      </c>
      <c r="B14" s="98">
        <v>10</v>
      </c>
      <c r="E14" s="97"/>
      <c r="F14" s="97"/>
      <c r="G14" s="100" t="s">
        <v>22</v>
      </c>
      <c r="H14" s="101">
        <v>3567</v>
      </c>
    </row>
    <row r="15" spans="1:8" ht="18.75">
      <c r="A15" s="98" t="s">
        <v>23</v>
      </c>
      <c r="B15" s="98">
        <v>40</v>
      </c>
      <c r="E15" s="97"/>
      <c r="F15" s="97"/>
      <c r="G15" s="100" t="s">
        <v>24</v>
      </c>
      <c r="H15" s="101">
        <v>4334</v>
      </c>
    </row>
    <row r="16" spans="1:8" ht="18.75">
      <c r="A16" s="97"/>
      <c r="B16" s="97"/>
      <c r="C16" s="97"/>
      <c r="D16" s="97"/>
      <c r="E16" s="97"/>
      <c r="F16" s="97"/>
      <c r="G16" s="102" t="s">
        <v>6</v>
      </c>
      <c r="H16" s="103">
        <f>SUM(H11:H15)</f>
        <v>25532</v>
      </c>
    </row>
    <row r="17" spans="1:8" ht="18.75">
      <c r="A17" s="97"/>
      <c r="B17" s="97"/>
      <c r="C17" s="97"/>
      <c r="D17" s="97"/>
      <c r="E17" s="97"/>
      <c r="F17" s="97"/>
    </row>
    <row r="18" spans="1:8" ht="18.75">
      <c r="A18" s="97"/>
      <c r="B18" s="97"/>
      <c r="C18" s="97"/>
      <c r="D18" s="97"/>
      <c r="E18" s="97"/>
      <c r="F18" s="97"/>
      <c r="G18" s="97"/>
      <c r="H18" s="97"/>
    </row>
    <row r="19" spans="1:8" ht="18.75">
      <c r="A19" s="97"/>
      <c r="B19" s="97"/>
      <c r="C19" s="97"/>
      <c r="D19" s="97"/>
      <c r="E19" s="97"/>
      <c r="F19" s="97"/>
      <c r="G19" s="93" t="s">
        <v>25</v>
      </c>
      <c r="H19" s="105"/>
    </row>
    <row r="20" spans="1:8" ht="18.75">
      <c r="A20" s="97"/>
      <c r="B20" s="97"/>
      <c r="C20" s="97"/>
      <c r="D20" s="97"/>
      <c r="E20" s="97"/>
      <c r="F20" s="97"/>
      <c r="G20" s="106" t="s">
        <v>26</v>
      </c>
      <c r="H20" s="107" t="s">
        <v>6</v>
      </c>
    </row>
    <row r="21" spans="1:8" ht="18.75">
      <c r="A21" s="97"/>
      <c r="B21" s="97"/>
      <c r="C21" s="97"/>
      <c r="D21" s="97"/>
      <c r="E21" s="97"/>
      <c r="F21" s="97"/>
      <c r="G21" s="108" t="s">
        <v>27</v>
      </c>
      <c r="H21" s="109">
        <v>350000</v>
      </c>
    </row>
    <row r="22" spans="1:8" ht="18.75">
      <c r="A22" s="97"/>
      <c r="B22" s="97"/>
      <c r="C22" s="97"/>
      <c r="D22" s="97"/>
      <c r="E22" s="97"/>
      <c r="F22" s="97"/>
      <c r="G22" s="108" t="s">
        <v>28</v>
      </c>
      <c r="H22" s="110">
        <v>580</v>
      </c>
    </row>
    <row r="23" spans="1:8" ht="18.75">
      <c r="A23" s="97"/>
      <c r="B23" s="97"/>
      <c r="C23" s="97"/>
      <c r="D23" s="97"/>
      <c r="E23" s="97"/>
      <c r="F23" s="97"/>
      <c r="G23" s="108" t="s">
        <v>29</v>
      </c>
      <c r="H23" s="109">
        <v>280923</v>
      </c>
    </row>
    <row r="24" spans="1:8" ht="18.75">
      <c r="A24" s="97"/>
      <c r="B24" s="97"/>
      <c r="C24" s="97"/>
      <c r="D24" s="97"/>
      <c r="E24" s="97"/>
      <c r="F24" s="97"/>
      <c r="G24" s="92" t="s">
        <v>30</v>
      </c>
      <c r="H24" s="111">
        <f>H21-H23</f>
        <v>69077</v>
      </c>
    </row>
    <row r="25" spans="1:8" ht="18.75">
      <c r="A25" s="97"/>
      <c r="B25" s="97"/>
      <c r="C25" s="97"/>
      <c r="D25" s="97"/>
      <c r="E25" s="97"/>
      <c r="F25" s="97"/>
      <c r="G25" s="108"/>
      <c r="H25" s="107"/>
    </row>
    <row r="26" spans="1:8" ht="18.75">
      <c r="A26" s="97"/>
      <c r="B26" s="97"/>
      <c r="C26" s="97"/>
      <c r="D26" s="97"/>
      <c r="E26" s="97"/>
      <c r="F26" s="97"/>
      <c r="G26" s="112" t="s">
        <v>31</v>
      </c>
      <c r="H26" s="113">
        <v>14000</v>
      </c>
    </row>
    <row r="27" spans="1:8" ht="18.75">
      <c r="A27" s="97"/>
      <c r="B27" s="97"/>
      <c r="C27" s="97"/>
      <c r="D27" s="97"/>
      <c r="E27" s="97"/>
      <c r="F27" s="97"/>
      <c r="G27" s="114" t="s">
        <v>32</v>
      </c>
      <c r="H27" s="115">
        <v>3000</v>
      </c>
    </row>
    <row r="28" spans="1:8" ht="18.75">
      <c r="A28" s="97"/>
      <c r="B28" s="97"/>
      <c r="C28" s="97"/>
      <c r="D28" s="97"/>
      <c r="E28" s="97"/>
      <c r="F28" s="97"/>
      <c r="G28" s="106" t="s">
        <v>33</v>
      </c>
      <c r="H28" s="118">
        <v>1.2500000000000001E-2</v>
      </c>
    </row>
    <row r="29" spans="1:8" ht="18.75">
      <c r="A29" s="97"/>
      <c r="B29" s="97"/>
      <c r="C29" s="97"/>
      <c r="D29" s="97"/>
      <c r="E29" s="97"/>
      <c r="F29" s="97"/>
      <c r="G29" s="106" t="s">
        <v>34</v>
      </c>
      <c r="H29" s="115">
        <f>H21*H28</f>
        <v>4375</v>
      </c>
    </row>
    <row r="30" spans="1:8" ht="18.75">
      <c r="A30" s="97"/>
      <c r="B30" s="97"/>
      <c r="C30" s="97"/>
      <c r="D30" s="97"/>
      <c r="E30" s="97"/>
      <c r="F30" s="97"/>
      <c r="G30" s="106" t="s">
        <v>35</v>
      </c>
      <c r="H30" s="113">
        <f>H26+H27+H29</f>
        <v>21375</v>
      </c>
    </row>
    <row r="31" spans="1:8" ht="18.75">
      <c r="A31" s="97"/>
      <c r="B31" s="97"/>
      <c r="C31" s="97"/>
      <c r="D31" s="97"/>
      <c r="E31" s="97"/>
      <c r="F31" s="97"/>
      <c r="G31" s="108"/>
      <c r="H31" s="108"/>
    </row>
    <row r="32" spans="1:8" ht="18.75">
      <c r="A32" s="97"/>
      <c r="B32" s="97"/>
      <c r="C32" s="97"/>
      <c r="D32" s="97"/>
      <c r="E32" s="97"/>
      <c r="F32" s="97"/>
      <c r="G32" s="106" t="s">
        <v>36</v>
      </c>
      <c r="H32" s="116">
        <f>H21-H23-H30</f>
        <v>47702</v>
      </c>
    </row>
    <row r="33" spans="1:8" ht="18.75">
      <c r="A33" s="97"/>
      <c r="B33" s="97"/>
      <c r="C33" s="97"/>
      <c r="D33" s="97"/>
      <c r="E33" s="97"/>
      <c r="F33" s="97"/>
      <c r="G33" s="108"/>
      <c r="H33" s="109"/>
    </row>
    <row r="34" spans="1:8" ht="18.75">
      <c r="A34" s="97"/>
      <c r="B34" s="97"/>
      <c r="C34" s="97"/>
      <c r="D34" s="97"/>
      <c r="E34" s="97"/>
      <c r="F34" s="97"/>
      <c r="G34" s="97"/>
      <c r="H34" s="97"/>
    </row>
    <row r="35" spans="1:8" ht="18.75">
      <c r="A35" s="97"/>
      <c r="B35" s="97"/>
      <c r="C35" s="97"/>
      <c r="D35" s="97"/>
      <c r="E35" s="97"/>
      <c r="F35" s="97"/>
      <c r="G35" s="106" t="s">
        <v>37</v>
      </c>
      <c r="H35" s="106" t="s">
        <v>38</v>
      </c>
    </row>
    <row r="36" spans="1:8" ht="18.75">
      <c r="A36" s="97"/>
      <c r="B36" s="97"/>
      <c r="C36" s="97"/>
      <c r="D36" s="97"/>
      <c r="E36" s="97"/>
      <c r="F36" s="97"/>
      <c r="G36" s="106" t="s">
        <v>6</v>
      </c>
      <c r="H36" s="109">
        <v>37935</v>
      </c>
    </row>
    <row r="37" spans="1:8" ht="18.75">
      <c r="G37" s="108"/>
      <c r="H37" s="108"/>
    </row>
    <row r="38" spans="1:8" ht="18.75">
      <c r="G38" s="108" t="s">
        <v>39</v>
      </c>
      <c r="H38" s="109">
        <f>800+545</f>
        <v>1345</v>
      </c>
    </row>
    <row r="39" spans="1:8" ht="18.75">
      <c r="G39" s="108" t="s">
        <v>40</v>
      </c>
      <c r="H39" s="109">
        <f>H36-H38</f>
        <v>36590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workbookViewId="0">
      <selection activeCell="E31" sqref="E31"/>
    </sheetView>
  </sheetViews>
  <sheetFormatPr defaultRowHeight="15"/>
  <cols>
    <col min="1" max="1" width="26.7109375" customWidth="1"/>
    <col min="2" max="2" width="33.42578125" customWidth="1"/>
    <col min="3" max="3" width="30.42578125" customWidth="1"/>
    <col min="4" max="4" width="29.42578125" customWidth="1"/>
    <col min="5" max="5" width="23.5703125" customWidth="1"/>
    <col min="6" max="6" width="33.85546875" hidden="1" customWidth="1"/>
    <col min="7" max="7" width="25.5703125" hidden="1" customWidth="1"/>
    <col min="8" max="8" width="31.42578125" hidden="1" customWidth="1"/>
    <col min="9" max="9" width="29.85546875" customWidth="1"/>
    <col min="10" max="10" width="25.42578125" customWidth="1"/>
    <col min="11" max="11" width="14.5703125" customWidth="1"/>
    <col min="12" max="12" width="19.28515625" customWidth="1"/>
    <col min="13" max="13" width="19.140625" customWidth="1"/>
    <col min="14" max="14" width="24.28515625" customWidth="1"/>
    <col min="15" max="15" width="19.85546875" customWidth="1"/>
    <col min="16" max="16" width="17" customWidth="1"/>
    <col min="17" max="17" width="10.28515625" bestFit="1" customWidth="1"/>
    <col min="22" max="22" width="28.5703125" bestFit="1" customWidth="1"/>
  </cols>
  <sheetData>
    <row r="1" spans="1:22" ht="18.75">
      <c r="A1" s="44" t="s">
        <v>41</v>
      </c>
      <c r="E1" s="11"/>
      <c r="F1" s="44"/>
    </row>
    <row r="2" spans="1:22" ht="15.75">
      <c r="A2" s="29" t="s">
        <v>0</v>
      </c>
      <c r="B2" s="30" t="s">
        <v>42</v>
      </c>
      <c r="C2" s="30" t="s">
        <v>43</v>
      </c>
      <c r="D2" s="30" t="s">
        <v>3</v>
      </c>
      <c r="E2" s="66" t="s">
        <v>44</v>
      </c>
      <c r="F2" s="91" t="s">
        <v>45</v>
      </c>
      <c r="G2" s="43" t="s">
        <v>46</v>
      </c>
      <c r="K2" s="7" t="s">
        <v>47</v>
      </c>
      <c r="U2" s="7"/>
    </row>
    <row r="3" spans="1:22">
      <c r="A3" s="7">
        <v>4236</v>
      </c>
      <c r="B3" s="7">
        <v>1100</v>
      </c>
      <c r="C3" s="7">
        <v>600</v>
      </c>
      <c r="D3" s="28">
        <f>B3+C3</f>
        <v>1700</v>
      </c>
      <c r="E3" s="119">
        <f>Table1[[#This Row],[Total Monthly Outgoings]]*12</f>
        <v>20400</v>
      </c>
      <c r="F3" s="26"/>
      <c r="G3" s="17"/>
      <c r="J3" s="7" t="s">
        <v>48</v>
      </c>
      <c r="K3" s="88">
        <f>B6</f>
        <v>31000</v>
      </c>
      <c r="U3" s="69"/>
    </row>
    <row r="4" spans="1:22">
      <c r="E4" s="12"/>
      <c r="F4" s="26"/>
      <c r="G4" s="23"/>
      <c r="J4" s="7"/>
      <c r="S4" s="8"/>
    </row>
    <row r="5" spans="1:22" ht="15.75">
      <c r="A5" s="28" t="s">
        <v>49</v>
      </c>
      <c r="B5" s="43" t="s">
        <v>50</v>
      </c>
      <c r="C5" s="28" t="s">
        <v>51</v>
      </c>
      <c r="D5" s="28" t="s">
        <v>52</v>
      </c>
      <c r="E5" s="7" t="s">
        <v>53</v>
      </c>
      <c r="F5" s="26"/>
      <c r="G5" s="23"/>
      <c r="J5" s="7" t="s">
        <v>54</v>
      </c>
      <c r="K5">
        <f>B27</f>
        <v>71384</v>
      </c>
    </row>
    <row r="6" spans="1:22">
      <c r="A6" s="12">
        <f>A3-B3-C3</f>
        <v>2536</v>
      </c>
      <c r="B6" s="26">
        <v>31000</v>
      </c>
      <c r="C6" s="7">
        <v>3056</v>
      </c>
      <c r="D6" s="7"/>
      <c r="E6" s="7">
        <f>Table1[[#This Row],[Outgoing Monthly Joint Account]]+Table1[[#This Row],[Outgoings Monthly Personal]]+E15+B27</f>
        <v>146767</v>
      </c>
      <c r="F6" s="26"/>
      <c r="G6" s="23"/>
      <c r="J6" s="7"/>
    </row>
    <row r="7" spans="1:22">
      <c r="B7" s="12"/>
      <c r="C7" s="12"/>
      <c r="D7" s="7"/>
      <c r="F7" s="26"/>
      <c r="G7" s="23"/>
      <c r="J7" s="7"/>
    </row>
    <row r="8" spans="1:22" ht="18.75" customHeight="1">
      <c r="B8" s="9"/>
      <c r="C8" s="9"/>
      <c r="D8" s="7"/>
      <c r="F8" s="26"/>
      <c r="G8" s="23"/>
      <c r="J8" s="7" t="s">
        <v>55</v>
      </c>
      <c r="K8">
        <f>B32</f>
        <v>21375</v>
      </c>
      <c r="S8" s="7"/>
    </row>
    <row r="9" spans="1:22" ht="18.75">
      <c r="A9" s="28" t="s">
        <v>56</v>
      </c>
      <c r="B9" s="77" t="s">
        <v>57</v>
      </c>
      <c r="C9" s="77" t="s">
        <v>58</v>
      </c>
      <c r="D9" s="42" t="s">
        <v>11</v>
      </c>
      <c r="E9" s="78"/>
      <c r="J9" s="7" t="s">
        <v>59</v>
      </c>
      <c r="K9" s="7">
        <f>K5+K3-K8</f>
        <v>81009</v>
      </c>
      <c r="U9" s="7"/>
    </row>
    <row r="10" spans="1:22">
      <c r="A10" s="72">
        <f>(A6*12)</f>
        <v>30432</v>
      </c>
      <c r="B10" t="s">
        <v>17</v>
      </c>
      <c r="C10" s="3">
        <f>((17.6*3)+(5.8*3))*4</f>
        <v>280.8</v>
      </c>
      <c r="D10" s="15" t="s">
        <v>16</v>
      </c>
      <c r="E10" s="79">
        <v>4552</v>
      </c>
      <c r="F10" s="27"/>
      <c r="G10" s="26"/>
      <c r="H10" s="23"/>
      <c r="V10" s="7"/>
    </row>
    <row r="11" spans="1:22">
      <c r="A11" s="75" t="s">
        <v>60</v>
      </c>
      <c r="B11" t="s">
        <v>19</v>
      </c>
      <c r="C11" s="3">
        <f>(7*3)*4</f>
        <v>84</v>
      </c>
      <c r="D11" s="15" t="s">
        <v>18</v>
      </c>
      <c r="E11" s="79">
        <v>9837</v>
      </c>
      <c r="S11" s="7"/>
      <c r="T11" s="7"/>
    </row>
    <row r="12" spans="1:22">
      <c r="A12" s="76"/>
      <c r="B12" t="s">
        <v>61</v>
      </c>
      <c r="C12" s="3">
        <v>10</v>
      </c>
      <c r="D12" s="15" t="s">
        <v>20</v>
      </c>
      <c r="E12" s="79">
        <v>4610</v>
      </c>
      <c r="I12" s="7"/>
      <c r="J12" s="67"/>
    </row>
    <row r="13" spans="1:22">
      <c r="A13" s="76" t="s">
        <v>62</v>
      </c>
      <c r="C13" s="3"/>
      <c r="D13" s="15" t="s">
        <v>22</v>
      </c>
      <c r="E13" s="79">
        <v>3912</v>
      </c>
    </row>
    <row r="14" spans="1:22">
      <c r="A14" s="28" t="s">
        <v>63</v>
      </c>
      <c r="B14" s="7" t="s">
        <v>64</v>
      </c>
      <c r="C14" s="74">
        <f>SUM(C10:C12)</f>
        <v>374.8</v>
      </c>
      <c r="D14" s="15" t="s">
        <v>24</v>
      </c>
      <c r="E14" s="79">
        <v>18416</v>
      </c>
      <c r="J14" s="87"/>
    </row>
    <row r="15" spans="1:22">
      <c r="A15" s="73">
        <f>(A6)/(A3)</f>
        <v>0.59867799811142586</v>
      </c>
      <c r="B15" s="7" t="s">
        <v>65</v>
      </c>
      <c r="C15" s="74">
        <f>C3-C14</f>
        <v>225.2</v>
      </c>
      <c r="D15" s="18" t="s">
        <v>6</v>
      </c>
      <c r="E15" s="80">
        <f>SUM(E10:E14)</f>
        <v>41327</v>
      </c>
      <c r="K15" s="7"/>
      <c r="V15" s="7"/>
    </row>
    <row r="16" spans="1:22" ht="15.75">
      <c r="D16" s="81" t="s">
        <v>14</v>
      </c>
      <c r="E16" s="82">
        <v>20215</v>
      </c>
    </row>
    <row r="17" spans="1:22">
      <c r="E17" s="19"/>
      <c r="F17" s="14"/>
      <c r="G17" s="14"/>
      <c r="K17" s="7"/>
      <c r="V17" s="7"/>
    </row>
    <row r="18" spans="1:22">
      <c r="F18" s="14"/>
      <c r="G18" s="14"/>
      <c r="K18" s="12"/>
      <c r="R18" s="67"/>
      <c r="V18" s="12"/>
    </row>
    <row r="19" spans="1:22" ht="16.5" customHeight="1">
      <c r="A19" s="44" t="s">
        <v>25</v>
      </c>
      <c r="F19" s="14"/>
      <c r="G19" s="14"/>
      <c r="K19" s="84"/>
      <c r="M19" s="7"/>
      <c r="Q19" s="7"/>
      <c r="R19" s="7"/>
      <c r="V19" s="7"/>
    </row>
    <row r="20" spans="1:22">
      <c r="A20" s="31" t="s">
        <v>26</v>
      </c>
      <c r="B20" s="45" t="s">
        <v>66</v>
      </c>
      <c r="C20" s="45" t="s">
        <v>67</v>
      </c>
      <c r="D20" s="7" t="s">
        <v>68</v>
      </c>
      <c r="E20" s="7" t="s">
        <v>69</v>
      </c>
      <c r="F20" s="23" t="s">
        <v>70</v>
      </c>
      <c r="G20" s="23" t="s">
        <v>45</v>
      </c>
      <c r="H20" s="7" t="s">
        <v>71</v>
      </c>
      <c r="I20" s="7" t="s">
        <v>46</v>
      </c>
      <c r="J20" s="7" t="s">
        <v>72</v>
      </c>
      <c r="K20" s="87"/>
      <c r="M20" s="7"/>
      <c r="P20" s="7"/>
      <c r="Q20" s="7"/>
    </row>
    <row r="21" spans="1:22">
      <c r="A21" s="15" t="s">
        <v>73</v>
      </c>
      <c r="B21" s="46">
        <v>75000</v>
      </c>
      <c r="C21" s="46">
        <f>Table2[[#This Row],[Column7]]/2</f>
        <v>37500</v>
      </c>
      <c r="D21" s="38"/>
      <c r="E21" s="14"/>
      <c r="F21" s="90"/>
      <c r="G21" s="14"/>
      <c r="K21" s="86"/>
    </row>
    <row r="22" spans="1:22">
      <c r="A22" s="15" t="s">
        <v>27</v>
      </c>
      <c r="B22" s="47">
        <v>350000</v>
      </c>
      <c r="C22" s="48"/>
      <c r="D22" s="38"/>
      <c r="E22" s="14"/>
      <c r="F22" s="71"/>
      <c r="J22" s="7"/>
      <c r="K22" s="85"/>
      <c r="M22" s="7"/>
      <c r="N22" s="7"/>
      <c r="P22" s="7"/>
      <c r="Q22" s="7"/>
    </row>
    <row r="23" spans="1:22">
      <c r="A23" s="15" t="s">
        <v>74</v>
      </c>
      <c r="B23" s="47">
        <v>278616</v>
      </c>
      <c r="C23" s="52">
        <f>Table2[[#This Row],[Column7]]/2</f>
        <v>139308</v>
      </c>
      <c r="D23" s="38"/>
      <c r="E23" s="14"/>
      <c r="F23" s="71"/>
      <c r="G23" s="19"/>
      <c r="H23" s="12"/>
      <c r="I23" s="19">
        <f>B18*3</f>
        <v>0</v>
      </c>
      <c r="J23" s="120"/>
      <c r="K23" s="85"/>
      <c r="M23" s="7"/>
      <c r="N23" s="7"/>
      <c r="P23" s="7"/>
      <c r="Q23" s="7"/>
    </row>
    <row r="24" spans="1:22">
      <c r="A24" s="15" t="s">
        <v>75</v>
      </c>
      <c r="B24" s="46">
        <f>300000-B23</f>
        <v>21384</v>
      </c>
      <c r="C24" s="46">
        <f>Table2[[#This Row],[Column7]]/2</f>
        <v>10692</v>
      </c>
      <c r="D24" s="38"/>
      <c r="E24" s="14"/>
      <c r="F24" s="71"/>
    </row>
    <row r="25" spans="1:22">
      <c r="A25" s="15" t="s">
        <v>28</v>
      </c>
      <c r="B25" s="83">
        <v>575</v>
      </c>
      <c r="C25" s="47"/>
      <c r="D25" s="38"/>
      <c r="E25" s="14"/>
      <c r="F25" s="89"/>
      <c r="J25" s="7"/>
      <c r="P25" s="7"/>
      <c r="Q25" s="7"/>
    </row>
    <row r="26" spans="1:22" ht="17.25" customHeight="1">
      <c r="A26" s="15" t="s">
        <v>76</v>
      </c>
      <c r="B26" s="47">
        <f>B22-375000</f>
        <v>-25000</v>
      </c>
      <c r="C26" s="47">
        <f>Table2[[#This Row],[Column7]]/2</f>
        <v>-12500</v>
      </c>
      <c r="D26" s="38"/>
      <c r="E26" s="14"/>
      <c r="F26" s="89"/>
      <c r="K26" s="7"/>
    </row>
    <row r="27" spans="1:22" ht="18.75" customHeight="1">
      <c r="A27" s="41" t="s">
        <v>77</v>
      </c>
      <c r="B27" s="49">
        <f>B21+B24+B26</f>
        <v>71384</v>
      </c>
      <c r="C27" s="49">
        <f>C21+C24+C26</f>
        <v>35692</v>
      </c>
      <c r="D27" s="38"/>
      <c r="E27" s="14"/>
      <c r="F27" s="89"/>
      <c r="H27" s="71"/>
    </row>
    <row r="28" spans="1:22" ht="16.5" customHeight="1">
      <c r="A28" s="34" t="s">
        <v>31</v>
      </c>
      <c r="B28" s="50">
        <v>14000</v>
      </c>
      <c r="C28" s="50">
        <f>Table2[[#This Row],[Column7]]/2</f>
        <v>7000</v>
      </c>
      <c r="D28" s="38"/>
      <c r="E28" s="14"/>
      <c r="F28" s="89"/>
      <c r="J28" s="87"/>
    </row>
    <row r="29" spans="1:22">
      <c r="A29" s="35" t="s">
        <v>32</v>
      </c>
      <c r="B29" s="51">
        <v>3000</v>
      </c>
      <c r="C29" s="51">
        <f>Table2[[#This Row],[Column7]]/2</f>
        <v>1500</v>
      </c>
      <c r="D29" s="38"/>
      <c r="E29" s="14"/>
      <c r="F29" s="89"/>
    </row>
    <row r="30" spans="1:22">
      <c r="A30" s="32" t="s">
        <v>33</v>
      </c>
      <c r="B30" s="46">
        <v>1.2500000000000001E-2</v>
      </c>
      <c r="C30" s="52"/>
      <c r="D30" s="38"/>
      <c r="E30" s="14"/>
      <c r="F30" s="71"/>
      <c r="H30" s="25"/>
      <c r="J30" s="26"/>
    </row>
    <row r="31" spans="1:22">
      <c r="A31" s="32" t="s">
        <v>34</v>
      </c>
      <c r="B31" s="53">
        <f>B22*B30</f>
        <v>4375</v>
      </c>
      <c r="C31" s="54">
        <f>Table2[[#This Row],[Column7]]/2</f>
        <v>2187.5</v>
      </c>
      <c r="D31" s="38"/>
      <c r="E31" s="14"/>
      <c r="F31" s="71"/>
      <c r="G31" s="24"/>
      <c r="H31" s="25"/>
    </row>
    <row r="32" spans="1:22">
      <c r="A32" s="32" t="s">
        <v>35</v>
      </c>
      <c r="B32" s="50">
        <f>B28+B29+B31</f>
        <v>21375</v>
      </c>
      <c r="C32" s="55">
        <f>Table2[[#This Row],[Column7]]/2</f>
        <v>10687.5</v>
      </c>
      <c r="D32" s="38"/>
      <c r="E32" s="14"/>
      <c r="F32" s="71"/>
      <c r="G32" s="24"/>
      <c r="H32" s="25"/>
    </row>
    <row r="33" spans="1:8">
      <c r="B33">
        <f>Table2[[#Totals],[Column7]]+B24+B25</f>
        <v>-3032</v>
      </c>
      <c r="C33" s="19"/>
      <c r="D33" s="38"/>
      <c r="E33" s="14"/>
      <c r="F33" s="71"/>
    </row>
    <row r="34" spans="1:8">
      <c r="A34" s="32" t="s">
        <v>36</v>
      </c>
      <c r="B34" s="56">
        <f>B27-B32</f>
        <v>50009</v>
      </c>
      <c r="C34" s="56">
        <f>Table2[[#This Row],[Column7]]/2</f>
        <v>25004.5</v>
      </c>
      <c r="D34" s="38"/>
      <c r="E34" s="14"/>
      <c r="F34" s="89"/>
      <c r="G34" s="7"/>
      <c r="H34" s="16"/>
    </row>
    <row r="35" spans="1:8">
      <c r="A35" s="33" t="s">
        <v>78</v>
      </c>
      <c r="B35" s="57">
        <f>B34-B21</f>
        <v>-24991</v>
      </c>
      <c r="C35" s="58">
        <f>C34-C21</f>
        <v>-12495.5</v>
      </c>
      <c r="F35" s="71"/>
    </row>
    <row r="36" spans="1:8" ht="21" customHeight="1">
      <c r="A36" s="44"/>
      <c r="B36" s="68">
        <f>-(375000-B22)/B22</f>
        <v>-7.1428571428571425E-2</v>
      </c>
      <c r="F36" s="71"/>
    </row>
    <row r="38" spans="1:8">
      <c r="A38" s="36" t="s">
        <v>37</v>
      </c>
      <c r="B38" s="37" t="s">
        <v>38</v>
      </c>
      <c r="E38" s="67"/>
    </row>
    <row r="39" spans="1:8">
      <c r="A39" s="39" t="s">
        <v>79</v>
      </c>
      <c r="B39" s="59">
        <f>300000-B24</f>
        <v>278616</v>
      </c>
    </row>
    <row r="40" spans="1:8" ht="18.75" customHeight="1">
      <c r="A40" s="38"/>
      <c r="B40" s="60">
        <f>B39/2</f>
        <v>139308</v>
      </c>
      <c r="D40" s="67"/>
      <c r="F40" s="64"/>
    </row>
    <row r="41" spans="1:8">
      <c r="A41" s="38"/>
      <c r="B41" s="60"/>
    </row>
    <row r="42" spans="1:8">
      <c r="A42" s="38"/>
      <c r="B42" s="60"/>
    </row>
    <row r="43" spans="1:8">
      <c r="A43" s="38"/>
      <c r="B43" s="60"/>
    </row>
    <row r="44" spans="1:8">
      <c r="A44" s="39" t="s">
        <v>54</v>
      </c>
      <c r="B44" s="59">
        <v>35000</v>
      </c>
      <c r="D44" s="8"/>
      <c r="E44" s="7"/>
      <c r="F44" s="7"/>
      <c r="G44" s="7"/>
    </row>
    <row r="45" spans="1:8">
      <c r="A45" s="39" t="s">
        <v>80</v>
      </c>
      <c r="B45" s="59"/>
    </row>
    <row r="46" spans="1:8">
      <c r="A46" s="39" t="s">
        <v>81</v>
      </c>
      <c r="B46" s="59">
        <v>36806</v>
      </c>
    </row>
    <row r="47" spans="1:8">
      <c r="A47" s="39" t="s">
        <v>82</v>
      </c>
      <c r="B47" s="60"/>
    </row>
    <row r="48" spans="1:8">
      <c r="A48" s="39" t="s">
        <v>83</v>
      </c>
      <c r="B48" s="63">
        <v>1000</v>
      </c>
    </row>
    <row r="49" spans="1:2">
      <c r="A49" s="39" t="s">
        <v>39</v>
      </c>
      <c r="B49" s="61" t="s">
        <v>84</v>
      </c>
    </row>
    <row r="50" spans="1:2">
      <c r="A50" t="s">
        <v>85</v>
      </c>
    </row>
    <row r="51" spans="1:2">
      <c r="A51" s="39" t="s">
        <v>86</v>
      </c>
      <c r="B51" s="70">
        <f>B46+B48-B49</f>
        <v>36006</v>
      </c>
    </row>
    <row r="52" spans="1:2">
      <c r="A52" s="40" t="s">
        <v>87</v>
      </c>
      <c r="B52" s="6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B5B2-8C0A-4FC1-8FD0-787044D186E8}">
  <dimension ref="A1:L16"/>
  <sheetViews>
    <sheetView workbookViewId="0">
      <selection sqref="A1:C14"/>
    </sheetView>
  </sheetViews>
  <sheetFormatPr defaultRowHeight="15"/>
  <cols>
    <col min="1" max="1" width="16.140625" customWidth="1"/>
    <col min="9" max="9" width="21.85546875" customWidth="1"/>
    <col min="12" max="12" width="17.7109375" customWidth="1"/>
  </cols>
  <sheetData>
    <row r="1" spans="1:12">
      <c r="A1" s="1" t="s">
        <v>88</v>
      </c>
      <c r="B1" s="4" t="s">
        <v>50</v>
      </c>
      <c r="C1" s="4" t="s">
        <v>89</v>
      </c>
      <c r="I1" s="20" t="s">
        <v>88</v>
      </c>
      <c r="J1" s="21" t="s">
        <v>50</v>
      </c>
      <c r="K1" s="21" t="s">
        <v>89</v>
      </c>
      <c r="L1" s="22" t="s">
        <v>90</v>
      </c>
    </row>
    <row r="2" spans="1:12">
      <c r="A2" s="2">
        <v>44832</v>
      </c>
      <c r="B2" s="5">
        <v>6451</v>
      </c>
      <c r="C2" s="5">
        <v>0</v>
      </c>
      <c r="I2" s="2" t="s">
        <v>91</v>
      </c>
      <c r="J2" s="5">
        <v>11776</v>
      </c>
      <c r="K2" s="4"/>
      <c r="L2" s="10" t="s">
        <v>92</v>
      </c>
    </row>
    <row r="3" spans="1:12">
      <c r="A3" s="2">
        <v>44862</v>
      </c>
      <c r="B3" s="5">
        <v>6556</v>
      </c>
      <c r="C3" s="5">
        <f t="shared" ref="C3:C14" si="0">B3-B2</f>
        <v>105</v>
      </c>
      <c r="I3" s="2">
        <v>45443</v>
      </c>
      <c r="J3" s="5">
        <v>14105</v>
      </c>
      <c r="K3" s="17">
        <v>3105</v>
      </c>
      <c r="L3" t="s">
        <v>93</v>
      </c>
    </row>
    <row r="4" spans="1:12">
      <c r="A4" s="2">
        <v>44894</v>
      </c>
      <c r="B4" s="5">
        <v>7620</v>
      </c>
      <c r="C4" s="5">
        <f t="shared" si="0"/>
        <v>1064</v>
      </c>
      <c r="I4" s="3" t="s">
        <v>94</v>
      </c>
      <c r="J4" s="5">
        <v>16765</v>
      </c>
      <c r="K4" s="17">
        <f>J4-J3</f>
        <v>2660</v>
      </c>
      <c r="L4" t="s">
        <v>95</v>
      </c>
    </row>
    <row r="5" spans="1:12">
      <c r="A5" s="2">
        <v>44920</v>
      </c>
      <c r="B5" s="5">
        <v>8236</v>
      </c>
      <c r="C5" s="5">
        <f t="shared" si="0"/>
        <v>616</v>
      </c>
      <c r="I5" s="13" t="s">
        <v>96</v>
      </c>
      <c r="J5" s="5">
        <v>19800</v>
      </c>
      <c r="K5" s="17">
        <f>J5-J4</f>
        <v>3035</v>
      </c>
    </row>
    <row r="6" spans="1:12">
      <c r="A6" s="2">
        <v>44952</v>
      </c>
      <c r="B6" s="5">
        <v>8377</v>
      </c>
      <c r="C6" s="5">
        <f t="shared" si="0"/>
        <v>141</v>
      </c>
      <c r="I6" t="s">
        <v>97</v>
      </c>
      <c r="J6" s="5">
        <v>20920</v>
      </c>
      <c r="K6" s="17">
        <v>1720</v>
      </c>
      <c r="L6" t="s">
        <v>98</v>
      </c>
    </row>
    <row r="7" spans="1:12">
      <c r="A7" s="2">
        <v>44983</v>
      </c>
      <c r="B7" s="5">
        <v>9000</v>
      </c>
      <c r="C7" s="5">
        <f t="shared" si="0"/>
        <v>623</v>
      </c>
      <c r="I7" t="s">
        <v>99</v>
      </c>
      <c r="J7" s="14" t="s">
        <v>100</v>
      </c>
      <c r="K7" s="17" t="s">
        <v>101</v>
      </c>
      <c r="L7" t="s">
        <v>102</v>
      </c>
    </row>
    <row r="8" spans="1:12">
      <c r="A8" s="2">
        <v>45014</v>
      </c>
      <c r="B8" s="5">
        <v>8750</v>
      </c>
      <c r="C8" s="5">
        <f t="shared" si="0"/>
        <v>-250</v>
      </c>
      <c r="I8" t="s">
        <v>103</v>
      </c>
      <c r="J8" s="14">
        <v>25700</v>
      </c>
      <c r="K8" s="17">
        <f>J8-Table44[[#Totals],[Total in Savings Account]]</f>
        <v>3152</v>
      </c>
    </row>
    <row r="9" spans="1:12">
      <c r="A9" s="2">
        <v>45045</v>
      </c>
      <c r="B9" s="5">
        <v>9250</v>
      </c>
      <c r="C9" s="5">
        <f t="shared" si="0"/>
        <v>500</v>
      </c>
      <c r="I9" t="s">
        <v>104</v>
      </c>
      <c r="J9" s="14">
        <v>29151</v>
      </c>
      <c r="K9" s="23">
        <f>J9-J8</f>
        <v>3451</v>
      </c>
      <c r="L9" t="s">
        <v>105</v>
      </c>
    </row>
    <row r="10" spans="1:12">
      <c r="A10" s="2">
        <v>45072</v>
      </c>
      <c r="B10" s="5">
        <v>10050</v>
      </c>
      <c r="C10" s="5">
        <f t="shared" si="0"/>
        <v>800</v>
      </c>
      <c r="I10" t="s">
        <v>106</v>
      </c>
      <c r="J10" s="14">
        <v>31525</v>
      </c>
      <c r="K10" s="23">
        <f>J10-J9</f>
        <v>2374</v>
      </c>
      <c r="L10" t="s">
        <v>107</v>
      </c>
    </row>
    <row r="11" spans="1:12">
      <c r="A11" s="2">
        <v>45105</v>
      </c>
      <c r="B11" s="6">
        <v>10830</v>
      </c>
      <c r="C11" s="5">
        <f t="shared" si="0"/>
        <v>780</v>
      </c>
      <c r="I11" s="2">
        <v>45688</v>
      </c>
      <c r="J11" s="14">
        <v>33249</v>
      </c>
      <c r="K11" s="23">
        <f>J11-J10</f>
        <v>1724</v>
      </c>
    </row>
    <row r="12" spans="1:12">
      <c r="A12" s="2">
        <v>45135</v>
      </c>
      <c r="B12" s="5">
        <v>11405</v>
      </c>
      <c r="C12" s="5">
        <f t="shared" si="0"/>
        <v>575</v>
      </c>
      <c r="I12" s="27">
        <v>45688</v>
      </c>
      <c r="J12" s="26">
        <v>36401</v>
      </c>
      <c r="K12" s="23"/>
    </row>
    <row r="13" spans="1:12">
      <c r="A13" s="2">
        <v>45166</v>
      </c>
      <c r="B13" s="5">
        <v>11776</v>
      </c>
      <c r="C13" s="5">
        <f t="shared" si="0"/>
        <v>371</v>
      </c>
      <c r="I13" s="65">
        <v>45716</v>
      </c>
      <c r="J13" s="14">
        <v>39830</v>
      </c>
      <c r="K13" s="23">
        <f>J13-J12</f>
        <v>3429</v>
      </c>
    </row>
    <row r="14" spans="1:12">
      <c r="A14" s="2">
        <v>45410</v>
      </c>
      <c r="B14" s="5">
        <v>14000</v>
      </c>
      <c r="C14" s="5">
        <f t="shared" si="0"/>
        <v>2224</v>
      </c>
      <c r="I14" s="27">
        <v>45747</v>
      </c>
      <c r="J14" s="14">
        <v>42700</v>
      </c>
      <c r="K14" s="23">
        <f>J14-J13</f>
        <v>2870</v>
      </c>
    </row>
    <row r="15" spans="1:12">
      <c r="I15" s="27">
        <v>45777</v>
      </c>
      <c r="J15" s="14">
        <v>44770</v>
      </c>
      <c r="K15" s="23">
        <f>J15-J14</f>
        <v>2070</v>
      </c>
    </row>
    <row r="16" spans="1:12">
      <c r="I16" s="27">
        <v>45808</v>
      </c>
      <c r="J16" s="14">
        <v>47840</v>
      </c>
      <c r="K16" s="23">
        <f>J16-J15</f>
        <v>3070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C326-EDA9-4BB9-8357-399E6C23A579}">
  <dimension ref="A1:C14"/>
  <sheetViews>
    <sheetView tabSelected="1" workbookViewId="0">
      <selection sqref="A1:C14"/>
    </sheetView>
  </sheetViews>
  <sheetFormatPr defaultRowHeight="15"/>
  <cols>
    <col min="1" max="1" width="14.5703125" customWidth="1"/>
  </cols>
  <sheetData>
    <row r="1" spans="1:3" ht="15.75">
      <c r="A1" s="1" t="s">
        <v>88</v>
      </c>
      <c r="B1" s="4" t="s">
        <v>50</v>
      </c>
      <c r="C1" s="4" t="s">
        <v>89</v>
      </c>
    </row>
    <row r="2" spans="1:3">
      <c r="A2" s="2">
        <v>44832</v>
      </c>
      <c r="B2" s="5">
        <v>6451</v>
      </c>
      <c r="C2" s="5">
        <v>0</v>
      </c>
    </row>
    <row r="3" spans="1:3">
      <c r="A3" s="2">
        <v>44862</v>
      </c>
      <c r="B3" s="5">
        <v>6556</v>
      </c>
      <c r="C3" s="5">
        <f t="shared" ref="C3:C14" si="0">B3-B2</f>
        <v>105</v>
      </c>
    </row>
    <row r="4" spans="1:3">
      <c r="A4" s="2">
        <v>44894</v>
      </c>
      <c r="B4" s="5">
        <v>7620</v>
      </c>
      <c r="C4" s="5">
        <f t="shared" si="0"/>
        <v>1064</v>
      </c>
    </row>
    <row r="5" spans="1:3">
      <c r="A5" s="2">
        <v>44920</v>
      </c>
      <c r="B5" s="5">
        <v>8236</v>
      </c>
      <c r="C5" s="5">
        <f t="shared" si="0"/>
        <v>616</v>
      </c>
    </row>
    <row r="6" spans="1:3">
      <c r="A6" s="2">
        <v>44952</v>
      </c>
      <c r="B6" s="5">
        <v>8377</v>
      </c>
      <c r="C6" s="5">
        <f t="shared" si="0"/>
        <v>141</v>
      </c>
    </row>
    <row r="7" spans="1:3">
      <c r="A7" s="2">
        <v>44983</v>
      </c>
      <c r="B7" s="5">
        <v>9000</v>
      </c>
      <c r="C7" s="5">
        <f t="shared" si="0"/>
        <v>623</v>
      </c>
    </row>
    <row r="8" spans="1:3">
      <c r="A8" s="2">
        <v>45014</v>
      </c>
      <c r="B8" s="5">
        <v>8750</v>
      </c>
      <c r="C8" s="5">
        <f t="shared" si="0"/>
        <v>-250</v>
      </c>
    </row>
    <row r="9" spans="1:3">
      <c r="A9" s="2">
        <v>45045</v>
      </c>
      <c r="B9" s="5">
        <v>9250</v>
      </c>
      <c r="C9" s="5">
        <f t="shared" si="0"/>
        <v>500</v>
      </c>
    </row>
    <row r="10" spans="1:3">
      <c r="A10" s="2">
        <v>45072</v>
      </c>
      <c r="B10" s="5">
        <v>10050</v>
      </c>
      <c r="C10" s="5">
        <f t="shared" si="0"/>
        <v>800</v>
      </c>
    </row>
    <row r="11" spans="1:3">
      <c r="A11" s="2">
        <v>45105</v>
      </c>
      <c r="B11" s="6">
        <v>10830</v>
      </c>
      <c r="C11" s="5">
        <f t="shared" si="0"/>
        <v>780</v>
      </c>
    </row>
    <row r="12" spans="1:3">
      <c r="A12" s="2">
        <v>45135</v>
      </c>
      <c r="B12" s="5">
        <v>11405</v>
      </c>
      <c r="C12" s="5">
        <f t="shared" si="0"/>
        <v>575</v>
      </c>
    </row>
    <row r="13" spans="1:3">
      <c r="A13" s="2">
        <v>45166</v>
      </c>
      <c r="B13" s="5">
        <v>11776</v>
      </c>
      <c r="C13" s="5">
        <f t="shared" si="0"/>
        <v>371</v>
      </c>
    </row>
    <row r="14" spans="1:3">
      <c r="A14" s="2">
        <v>45410</v>
      </c>
      <c r="B14" s="5">
        <v>14000</v>
      </c>
      <c r="C14" s="5">
        <f t="shared" si="0"/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</dc:creator>
  <cp:keywords/>
  <dc:description/>
  <cp:lastModifiedBy/>
  <cp:revision/>
  <dcterms:created xsi:type="dcterms:W3CDTF">2015-06-05T18:19:34Z</dcterms:created>
  <dcterms:modified xsi:type="dcterms:W3CDTF">2026-03-14T13:35:43Z</dcterms:modified>
  <cp:category/>
  <cp:contentStatus/>
</cp:coreProperties>
</file>